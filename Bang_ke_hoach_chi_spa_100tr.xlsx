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LongHN5\P_SPA_TINHTOAN\"/>
    </mc:Choice>
  </mc:AlternateContent>
  <xr:revisionPtr revIDLastSave="0" documentId="13_ncr:1_{5EEF73A1-D382-4C4F-ACC0-BE2D0B4C1B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eHoachC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1" l="1"/>
  <c r="M23" i="1" s="1"/>
  <c r="L22" i="1"/>
  <c r="M22" i="1" s="1"/>
  <c r="L21" i="1"/>
  <c r="M21" i="1" s="1"/>
  <c r="L20" i="1"/>
  <c r="M20" i="1" s="1"/>
  <c r="L19" i="1"/>
  <c r="M19" i="1" s="1"/>
  <c r="L18" i="1"/>
  <c r="M18" i="1" s="1"/>
</calcChain>
</file>

<file path=xl/sharedStrings.xml><?xml version="1.0" encoding="utf-8"?>
<sst xmlns="http://schemas.openxmlformats.org/spreadsheetml/2006/main" count="36" uniqueCount="31">
  <si>
    <t>Tháng 1</t>
  </si>
  <si>
    <t>Tháng 2</t>
  </si>
  <si>
    <t>Tháng 3</t>
  </si>
  <si>
    <t>Ghi chú</t>
  </si>
  <si>
    <t>Sang mặt bằng</t>
  </si>
  <si>
    <t>Mặt bằng</t>
  </si>
  <si>
    <t>2 tháng đầu</t>
  </si>
  <si>
    <t>Sản phẩm</t>
  </si>
  <si>
    <t>ước tính</t>
  </si>
  <si>
    <t>Máy móc dụng cụ</t>
  </si>
  <si>
    <t>Tiền trọ</t>
  </si>
  <si>
    <t>Nợ vay</t>
  </si>
  <si>
    <t>Điện nước</t>
  </si>
  <si>
    <t>Hạng mục chi</t>
  </si>
  <si>
    <t>Ăn uống sinh hoạt</t>
  </si>
  <si>
    <t>Tháng 4</t>
  </si>
  <si>
    <t>Tháng 5</t>
  </si>
  <si>
    <t>Chi Phí đầu tư(Chỉ phát sinh tháng đầu)</t>
  </si>
  <si>
    <t>Chi phí cố định hằng tháng</t>
  </si>
  <si>
    <t>Đồng phục</t>
  </si>
  <si>
    <t>Sau cưới th1</t>
  </si>
  <si>
    <t>sau cưới th2</t>
  </si>
  <si>
    <t>Tháng</t>
  </si>
  <si>
    <t>Sau cưới</t>
  </si>
  <si>
    <t>Học liệu trình+ bằng</t>
  </si>
  <si>
    <t>Tổng chi</t>
  </si>
  <si>
    <t>Điểm hoàn vốn/ngày</t>
  </si>
  <si>
    <t>A. Phần trăm chi tiêu cho tháng 3</t>
  </si>
  <si>
    <t>B. Tổng chi theo tháng</t>
  </si>
  <si>
    <t>Khấu hao thiết bị</t>
  </si>
  <si>
    <t>Sửa tiệm +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</si>
</sst>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0" fontId="0" fillId="2" borderId="1" xfId="0" applyFill="1" applyBorder="1" applyAlignment="1">
      <alignment vertical="center" wrapText="1"/>
    </xf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0" fontId="0" fillId="2" borderId="0" xfId="0" applyFill="1"/>
    <xf numFmtId="3" fontId="0" fillId="2" borderId="0" xfId="0" applyNumberFormat="1" applyFill="1"/>
    <xf numFmtId="3" fontId="2" fillId="2" borderId="0" xfId="0" applyNumberFormat="1" applyFont="1" applyFill="1"/>
    <xf numFmtId="0" fontId="0" fillId="6" borderId="1" xfId="0" applyFill="1" applyBorder="1" applyAlignment="1">
      <alignment vertical="center" wrapText="1"/>
    </xf>
    <xf numFmtId="0" fontId="0" fillId="6" borderId="0" xfId="0" applyFill="1"/>
    <xf numFmtId="3" fontId="0" fillId="6" borderId="0" xfId="0" applyNumberFormat="1" applyFill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10">
    <dxf>
      <numFmt numFmtId="3" formatCode="#,##0"/>
      <fill>
        <patternFill patternType="solid">
          <fgColor indexed="64"/>
          <bgColor rgb="FFFF5050"/>
        </patternFill>
      </fill>
    </dxf>
    <dxf>
      <numFmt numFmtId="3" formatCode="#,##0"/>
      <fill>
        <patternFill patternType="solid">
          <fgColor indexed="64"/>
          <bgColor theme="6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KeHoachChi!$L$17</c:f>
              <c:strCache>
                <c:ptCount val="1"/>
                <c:pt idx="0">
                  <c:v>Tổng chi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KeHoachChi!$K$18:$K$23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Sau cưới</c:v>
                </c:pt>
              </c:strCache>
            </c:strRef>
          </c:cat>
          <c:val>
            <c:numRef>
              <c:f>KeHoachChi!$L$18:$L$23</c:f>
              <c:numCache>
                <c:formatCode>#,##0</c:formatCode>
                <c:ptCount val="6"/>
                <c:pt idx="0">
                  <c:v>119200000</c:v>
                </c:pt>
                <c:pt idx="1">
                  <c:v>13200000</c:v>
                </c:pt>
                <c:pt idx="2">
                  <c:v>20200000</c:v>
                </c:pt>
                <c:pt idx="3">
                  <c:v>20200000</c:v>
                </c:pt>
                <c:pt idx="4">
                  <c:v>20200000</c:v>
                </c:pt>
                <c:pt idx="5">
                  <c:v>16200000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B-4781-921E-233E8F5C1B34}"/>
            </c:ext>
          </c:extLst>
        </c:ser>
        <c:ser>
          <c:idx val="1"/>
          <c:order val="1"/>
          <c:tx>
            <c:strRef>
              <c:f>KeHoachChi!$M$17</c:f>
              <c:strCache>
                <c:ptCount val="1"/>
                <c:pt idx="0">
                  <c:v>Điểm hoàn vốn/ngày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C0504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KeHoachChi!$K$18:$K$23</c:f>
              <c:strCache>
                <c:ptCount val="6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Sau cưới</c:v>
                </c:pt>
              </c:strCache>
            </c:strRef>
          </c:cat>
          <c:val>
            <c:numRef>
              <c:f>KeHoachChi!$M$18:$M$23</c:f>
              <c:numCache>
                <c:formatCode>#,##0</c:formatCode>
                <c:ptCount val="6"/>
                <c:pt idx="0">
                  <c:v>4110344.8275862071</c:v>
                </c:pt>
                <c:pt idx="1">
                  <c:v>455172.41379310342</c:v>
                </c:pt>
                <c:pt idx="2">
                  <c:v>696551.72413793101</c:v>
                </c:pt>
                <c:pt idx="3">
                  <c:v>696551.72413793101</c:v>
                </c:pt>
                <c:pt idx="4">
                  <c:v>696551.72413793101</c:v>
                </c:pt>
                <c:pt idx="5">
                  <c:v>558620.68965517241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1B-4781-921E-233E8F5C1B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527502447"/>
        <c:axId val="1527502863"/>
        <c:axId val="0"/>
      </c:bar3DChart>
      <c:catAx>
        <c:axId val="152750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502863"/>
        <c:crosses val="autoZero"/>
        <c:auto val="1"/>
        <c:lblAlgn val="ctr"/>
        <c:lblOffset val="100"/>
        <c:noMultiLvlLbl val="0"/>
      </c:catAx>
      <c:valAx>
        <c:axId val="152750286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52750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KeHoachChi!$E$1</c:f>
              <c:strCache>
                <c:ptCount val="1"/>
                <c:pt idx="0">
                  <c:v>Tháng 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B1E-4860-AE24-EEA07D32EF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B1E-4860-AE24-EEA07D32EF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B1E-4860-AE24-EEA07D32EF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B1E-4860-AE24-EEA07D32EF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B1E-4860-AE24-EEA07D32EF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6B1E-4860-AE24-EEA07D32EF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B1E-4860-AE24-EEA07D32EF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6B1E-4860-AE24-EEA07D32EF3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6B1E-4860-AE24-EEA07D32EF3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6B1E-4860-AE24-EEA07D32EF3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6B1E-4860-AE24-EEA07D32EF3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7929-4866-AEE6-266650D002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KeHoachChi!$B$2:$B$14</c:f>
              <c:strCache>
                <c:ptCount val="12"/>
                <c:pt idx="0">
                  <c:v>Mặt bằng</c:v>
                </c:pt>
                <c:pt idx="1">
                  <c:v>Điện nước</c:v>
                </c:pt>
                <c:pt idx="2">
                  <c:v>Tiền trọ</c:v>
                </c:pt>
                <c:pt idx="3">
                  <c:v>Nợ vay</c:v>
                </c:pt>
                <c:pt idx="4">
                  <c:v>Ăn uống sinh hoạt</c:v>
                </c:pt>
                <c:pt idx="5">
                  <c:v>Khấu hao thiết bị</c:v>
                </c:pt>
                <c:pt idx="6">
                  <c:v>Sang mặt bằng</c:v>
                </c:pt>
                <c:pt idx="7">
                  <c:v>Học liệu trình+ bằng</c:v>
                </c:pt>
                <c:pt idx="8">
                  <c:v>Sản phẩm</c:v>
                </c:pt>
                <c:pt idx="9">
                  <c:v>Đồng phục</c:v>
                </c:pt>
                <c:pt idx="10">
                  <c:v>Máy móc dụng cụ</c:v>
                </c:pt>
                <c:pt idx="11">
                  <c:v>Sửa tiệm + loa</c:v>
                </c:pt>
              </c:strCache>
            </c:strRef>
          </c:cat>
          <c:val>
            <c:numRef>
              <c:f>KeHoachChi!$E$2:$E$14</c:f>
              <c:numCache>
                <c:formatCode>#,##0</c:formatCode>
                <c:ptCount val="13"/>
                <c:pt idx="0">
                  <c:v>7000000</c:v>
                </c:pt>
                <c:pt idx="1">
                  <c:v>1000000</c:v>
                </c:pt>
                <c:pt idx="2">
                  <c:v>4000000</c:v>
                </c:pt>
                <c:pt idx="3">
                  <c:v>2700000</c:v>
                </c:pt>
                <c:pt idx="4">
                  <c:v>5000000</c:v>
                </c:pt>
                <c:pt idx="5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4-4CDE-9AF1-55A5C3C43A93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127152</xdr:colOff>
      <xdr:row>16</xdr:row>
      <xdr:rowOff>29935</xdr:rowOff>
    </xdr:from>
    <xdr:to>
      <xdr:col>9</xdr:col>
      <xdr:colOff>498929</xdr:colOff>
      <xdr:row>30</xdr:row>
      <xdr:rowOff>98273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E61D26-B69C-4CFC-A8C5-6040C031F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65012</xdr:colOff>
      <xdr:row>16</xdr:row>
      <xdr:rowOff>19351</xdr:rowOff>
    </xdr:from>
    <xdr:to>
      <xdr:col>3</xdr:col>
      <xdr:colOff>811893</xdr:colOff>
      <xdr:row>31</xdr:row>
      <xdr:rowOff>41123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5112FC-E2CF-403A-AB97-13E1DD2F7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CB148-CB9E-49F0-AB94-0F8783D87BF7}" name="Table1" displayName="Table1" ref="B1:J14" totalsRowShown="0" headerRowDxfId="9">
  <autoFilter ref="B1:J14" xr:uid="{A1BCB148-CB9E-49F0-AB94-0F8783D87BF7}"/>
  <tableColumns count="9">
    <tableColumn id="1" xr3:uid="{FABC7689-FBD7-4C51-AECB-719A63BFAB25}" name="Hạng mục chi"/>
    <tableColumn id="2" xr3:uid="{F67B38AB-C8FD-4E24-B51F-51EF7C465498}" name="Tháng 1" dataDxfId="8"/>
    <tableColumn id="3" xr3:uid="{9B1E8339-1605-4722-9973-601BB09C280F}" name="Tháng 2" dataDxfId="7"/>
    <tableColumn id="4" xr3:uid="{5041EA54-AF5A-475F-BC2B-7A5692C13B90}" name="Tháng 3" dataDxfId="6"/>
    <tableColumn id="6" xr3:uid="{165A565A-AD64-4FFF-9589-FB5708A5BAFD}" name="Tháng 4" dataDxfId="5"/>
    <tableColumn id="7" xr3:uid="{433E94FC-BC7F-45A1-ADAF-680492BA373D}" name="Tháng 5" dataDxfId="4"/>
    <tableColumn id="9" xr3:uid="{3E07B5AC-368F-4F8D-94F7-EF8C666D6233}" name="Sau cưới th1" dataDxfId="3"/>
    <tableColumn id="8" xr3:uid="{D8FC696B-39D3-4EF9-9FEF-C4298390093C}" name="sau cưới th2" dataDxfId="2"/>
    <tableColumn id="5" xr3:uid="{4D5313BA-9638-4CF2-B124-68B1D7616519}" name="Ghi chú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67B107-8B4B-4E50-B8FB-D63C28DDDD6B}" name="Table2" displayName="Table2" ref="K17:M23" totalsRowShown="0">
  <autoFilter ref="K17:M23" xr:uid="{8C67B107-8B4B-4E50-B8FB-D63C28DDDD6B}"/>
  <tableColumns count="3">
    <tableColumn id="1" xr3:uid="{FE865CD0-F680-430E-8813-BF45636D1370}" name="Tháng"/>
    <tableColumn id="2" xr3:uid="{A2C1C32D-FD26-4714-AAFF-2D1A0615AA98}" name="Tổng chi" dataDxfId="1"/>
    <tableColumn id="3" xr3:uid="{B9A6649C-189F-4951-A22B-6CA4AA49E6EF}" name="Điểm hoàn vốn/ngày" dataDxfId="0">
      <calculatedColumnFormula>Table2[[#This Row],[Tổng chi]]/29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="84" workbookViewId="0">
      <selection activeCell="L10" sqref="L10"/>
    </sheetView>
  </sheetViews>
  <sheetFormatPr defaultRowHeight="14.5" x14ac:dyDescent="0.35"/>
  <cols>
    <col min="1" max="1" width="24.7265625" customWidth="1"/>
    <col min="2" max="2" width="17.6328125" bestFit="1" customWidth="1"/>
    <col min="3" max="3" width="14.453125" style="1" bestFit="1" customWidth="1"/>
    <col min="4" max="4" width="13.453125" style="1" bestFit="1" customWidth="1"/>
    <col min="5" max="5" width="12.36328125" style="1" bestFit="1" customWidth="1"/>
    <col min="6" max="9" width="12.36328125" style="1" customWidth="1"/>
    <col min="10" max="10" width="9.08984375" customWidth="1"/>
    <col min="12" max="12" width="11.81640625" bestFit="1" customWidth="1"/>
    <col min="13" max="13" width="14.54296875" customWidth="1"/>
    <col min="14" max="14" width="21.54296875" style="1" bestFit="1" customWidth="1"/>
  </cols>
  <sheetData>
    <row r="1" spans="1:10" x14ac:dyDescent="0.35">
      <c r="B1" t="s">
        <v>13</v>
      </c>
      <c r="C1" s="1" t="s">
        <v>0</v>
      </c>
      <c r="D1" s="1" t="s">
        <v>1</v>
      </c>
      <c r="E1" s="1" t="s">
        <v>2</v>
      </c>
      <c r="F1" s="1" t="s">
        <v>15</v>
      </c>
      <c r="G1" s="1" t="s">
        <v>16</v>
      </c>
      <c r="H1" s="1" t="s">
        <v>20</v>
      </c>
      <c r="I1" s="1" t="s">
        <v>21</v>
      </c>
      <c r="J1" t="s">
        <v>3</v>
      </c>
    </row>
    <row r="2" spans="1:10" x14ac:dyDescent="0.35">
      <c r="A2" s="2" t="s">
        <v>18</v>
      </c>
      <c r="B2" s="6" t="s">
        <v>5</v>
      </c>
      <c r="C2" s="7">
        <v>14000000</v>
      </c>
      <c r="D2" s="7"/>
      <c r="E2" s="7">
        <v>7000000</v>
      </c>
      <c r="F2" s="7">
        <v>7000000</v>
      </c>
      <c r="G2" s="7">
        <v>7000000</v>
      </c>
      <c r="H2" s="7">
        <v>7000000</v>
      </c>
      <c r="I2" s="7">
        <v>7000000</v>
      </c>
      <c r="J2" s="6" t="s">
        <v>6</v>
      </c>
    </row>
    <row r="3" spans="1:10" x14ac:dyDescent="0.35">
      <c r="A3" s="2"/>
      <c r="B3" s="6" t="s">
        <v>12</v>
      </c>
      <c r="C3" s="7">
        <v>1000000</v>
      </c>
      <c r="D3" s="7">
        <v>1000000</v>
      </c>
      <c r="E3" s="7">
        <v>1000000</v>
      </c>
      <c r="F3" s="7">
        <v>1000000</v>
      </c>
      <c r="G3" s="7">
        <v>1000000</v>
      </c>
      <c r="H3" s="7">
        <v>1000000</v>
      </c>
      <c r="I3" s="7">
        <v>1000000</v>
      </c>
      <c r="J3" s="6"/>
    </row>
    <row r="4" spans="1:10" x14ac:dyDescent="0.35">
      <c r="A4" s="2"/>
      <c r="B4" s="6" t="s">
        <v>10</v>
      </c>
      <c r="C4" s="7">
        <v>4000000</v>
      </c>
      <c r="D4" s="7">
        <v>4000000</v>
      </c>
      <c r="E4" s="7">
        <v>4000000</v>
      </c>
      <c r="F4" s="7">
        <v>4000000</v>
      </c>
      <c r="G4" s="7">
        <v>4000000</v>
      </c>
      <c r="H4" s="8"/>
      <c r="I4" s="8"/>
      <c r="J4" s="6"/>
    </row>
    <row r="5" spans="1:10" x14ac:dyDescent="0.35">
      <c r="A5" s="2"/>
      <c r="B5" s="6" t="s">
        <v>11</v>
      </c>
      <c r="C5" s="7">
        <v>2700000</v>
      </c>
      <c r="D5" s="7">
        <v>2700000</v>
      </c>
      <c r="E5" s="7">
        <v>2700000</v>
      </c>
      <c r="F5" s="7">
        <v>2700000</v>
      </c>
      <c r="G5" s="7">
        <v>2700000</v>
      </c>
      <c r="H5" s="7">
        <v>2700000</v>
      </c>
      <c r="I5" s="7">
        <v>2700000</v>
      </c>
      <c r="J5" s="6"/>
    </row>
    <row r="6" spans="1:10" x14ac:dyDescent="0.35">
      <c r="A6" s="2"/>
      <c r="B6" s="6" t="s">
        <v>14</v>
      </c>
      <c r="C6" s="7">
        <v>5000000</v>
      </c>
      <c r="D6" s="7">
        <v>5000000</v>
      </c>
      <c r="E6" s="7">
        <v>5000000</v>
      </c>
      <c r="F6" s="7">
        <v>5000000</v>
      </c>
      <c r="G6" s="7">
        <v>5000000</v>
      </c>
      <c r="H6" s="7">
        <v>5000000</v>
      </c>
      <c r="I6" s="7">
        <v>5000000</v>
      </c>
      <c r="J6" s="6"/>
    </row>
    <row r="7" spans="1:10" x14ac:dyDescent="0.35">
      <c r="A7" s="2"/>
      <c r="B7" s="6" t="s">
        <v>29</v>
      </c>
      <c r="C7" s="7">
        <v>500000</v>
      </c>
      <c r="D7" s="7">
        <v>500000</v>
      </c>
      <c r="E7" s="7">
        <v>500000</v>
      </c>
      <c r="F7" s="7">
        <v>500000</v>
      </c>
      <c r="G7" s="7">
        <v>500000</v>
      </c>
      <c r="H7" s="7">
        <v>500000</v>
      </c>
      <c r="I7" s="7">
        <v>500000</v>
      </c>
      <c r="J7" s="6"/>
    </row>
    <row r="8" spans="1:10" ht="14.5" customHeight="1" x14ac:dyDescent="0.35">
      <c r="A8" s="9" t="s">
        <v>17</v>
      </c>
      <c r="B8" s="10" t="s">
        <v>4</v>
      </c>
      <c r="C8" s="11">
        <v>40000000</v>
      </c>
      <c r="D8" s="11"/>
      <c r="E8" s="11"/>
      <c r="F8" s="11"/>
      <c r="G8" s="11"/>
      <c r="H8" s="11"/>
      <c r="I8" s="11"/>
      <c r="J8" s="10"/>
    </row>
    <row r="9" spans="1:10" x14ac:dyDescent="0.35">
      <c r="A9" s="9"/>
      <c r="B9" s="10" t="s">
        <v>24</v>
      </c>
      <c r="C9" s="11">
        <v>20000000</v>
      </c>
      <c r="D9" s="11"/>
      <c r="E9" s="11"/>
      <c r="F9" s="11"/>
      <c r="G9" s="11"/>
      <c r="H9" s="11"/>
      <c r="I9" s="11"/>
      <c r="J9" s="10"/>
    </row>
    <row r="10" spans="1:10" x14ac:dyDescent="0.35">
      <c r="A10" s="9"/>
      <c r="B10" s="10" t="s">
        <v>7</v>
      </c>
      <c r="C10" s="11">
        <v>15000000</v>
      </c>
      <c r="D10" s="11"/>
      <c r="E10" s="11"/>
      <c r="F10" s="11"/>
      <c r="G10" s="11"/>
      <c r="H10" s="11"/>
      <c r="I10" s="11"/>
      <c r="J10" s="10" t="s">
        <v>8</v>
      </c>
    </row>
    <row r="11" spans="1:10" x14ac:dyDescent="0.35">
      <c r="A11" s="9"/>
      <c r="B11" s="10" t="s">
        <v>19</v>
      </c>
      <c r="C11" s="11">
        <v>2000000</v>
      </c>
      <c r="D11" s="11"/>
      <c r="E11" s="11"/>
      <c r="F11" s="11"/>
      <c r="G11" s="11"/>
      <c r="H11" s="11"/>
      <c r="I11" s="11"/>
      <c r="J11" s="10"/>
    </row>
    <row r="12" spans="1:10" x14ac:dyDescent="0.35">
      <c r="A12" s="9"/>
      <c r="B12" s="10" t="s">
        <v>9</v>
      </c>
      <c r="C12" s="11">
        <v>5000000</v>
      </c>
      <c r="D12" s="11"/>
      <c r="E12" s="11"/>
      <c r="F12" s="11"/>
      <c r="G12" s="11"/>
      <c r="H12" s="11"/>
      <c r="I12" s="11"/>
      <c r="J12" s="10"/>
    </row>
    <row r="13" spans="1:10" x14ac:dyDescent="0.35">
      <c r="A13" s="9"/>
      <c r="B13" s="10" t="s">
        <v>30</v>
      </c>
      <c r="C13" s="11">
        <v>10000000</v>
      </c>
      <c r="D13" s="11"/>
      <c r="E13" s="11"/>
      <c r="F13" s="11"/>
      <c r="G13" s="11"/>
      <c r="H13" s="11"/>
      <c r="I13" s="11"/>
      <c r="J13" s="10"/>
    </row>
    <row r="15" spans="1:10" x14ac:dyDescent="0.35">
      <c r="A15" s="12" t="s">
        <v>27</v>
      </c>
      <c r="E15" s="13" t="s">
        <v>28</v>
      </c>
    </row>
    <row r="17" spans="11:13" x14ac:dyDescent="0.35">
      <c r="K17" t="s">
        <v>22</v>
      </c>
      <c r="L17" t="s">
        <v>25</v>
      </c>
      <c r="M17" s="4" t="s">
        <v>26</v>
      </c>
    </row>
    <row r="18" spans="11:13" x14ac:dyDescent="0.35">
      <c r="K18" t="s">
        <v>0</v>
      </c>
      <c r="L18" s="3">
        <f>SUM(C:C)</f>
        <v>119200000</v>
      </c>
      <c r="M18" s="5">
        <f>Table2[[#This Row],[Tổng chi]]/29</f>
        <v>4110344.8275862071</v>
      </c>
    </row>
    <row r="19" spans="11:13" x14ac:dyDescent="0.35">
      <c r="K19" t="s">
        <v>1</v>
      </c>
      <c r="L19" s="3">
        <f>SUM(D:D)</f>
        <v>13200000</v>
      </c>
      <c r="M19" s="5">
        <f>Table2[[#This Row],[Tổng chi]]/29</f>
        <v>455172.41379310342</v>
      </c>
    </row>
    <row r="20" spans="11:13" x14ac:dyDescent="0.35">
      <c r="K20" t="s">
        <v>2</v>
      </c>
      <c r="L20" s="3">
        <f>SUM(E:E)</f>
        <v>20200000</v>
      </c>
      <c r="M20" s="5">
        <f>Table2[[#This Row],[Tổng chi]]/29</f>
        <v>696551.72413793101</v>
      </c>
    </row>
    <row r="21" spans="11:13" x14ac:dyDescent="0.35">
      <c r="K21" t="s">
        <v>15</v>
      </c>
      <c r="L21" s="3">
        <f>SUM(F:F)</f>
        <v>20200000</v>
      </c>
      <c r="M21" s="5">
        <f>Table2[[#This Row],[Tổng chi]]/29</f>
        <v>696551.72413793101</v>
      </c>
    </row>
    <row r="22" spans="11:13" x14ac:dyDescent="0.35">
      <c r="K22" t="s">
        <v>16</v>
      </c>
      <c r="L22" s="3">
        <f>SUM(G:G)</f>
        <v>20200000</v>
      </c>
      <c r="M22" s="5">
        <f>Table2[[#This Row],[Tổng chi]]/29</f>
        <v>696551.72413793101</v>
      </c>
    </row>
    <row r="23" spans="11:13" x14ac:dyDescent="0.35">
      <c r="K23" t="s">
        <v>23</v>
      </c>
      <c r="L23" s="3">
        <f>SUM(H:H)</f>
        <v>16200000</v>
      </c>
      <c r="M23" s="5">
        <f>Table2[[#This Row],[Tổng chi]]/29</f>
        <v>558620.68965517241</v>
      </c>
    </row>
  </sheetData>
  <phoneticPr fontId="1" type="noConversion"/>
  <conditionalFormatting sqref="L18:L2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{BD8ED756-DA41-4ED1-B0FF-1833B6048AE0}</x14:id>
        </ext>
      </extLst>
    </cfRule>
  </conditionalFormatting>
  <conditionalFormatting sqref="C2:C1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{79DF8A7F-9B9C-44D8-859A-D17098617AEF}</x14:id>
        </ext>
      </extLst>
    </cfRule>
  </conditionalFormatting>
  <conditionalFormatting sqref="M18:M2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{65DAA0BF-C649-45B4-9F37-155E15797282}</x14:id>
        </ext>
      </extLst>
    </cfRule>
  </conditionalFormatting>
  <conditionalFormatting sqref="C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{22CB0EF5-EC5D-4714-BF5C-66112D29FEDE}</x14:id>
        </ext>
      </extLst>
    </cfRule>
  </conditionalFormatting>
  <conditionalFormatting sqref="C2:C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{76BBC023-12CB-4669-AF19-E927870BC06D}</x14:id>
        </ext>
      </extLst>
    </cfRule>
  </conditionalFormatting>
  <conditionalFormatting sqref="L18:M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{462A7426-4173-46BF-9395-E0F2FEAD1F2F}</x14:id>
        </ext>
      </extLst>
    </cfRule>
  </conditionalFormatting>
  <pageMargins left="0.75" right="0.75" top="1" bottom="1" header="0.5" footer="0.5"/>
  <pageSetup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ED756-DA41-4ED1-B0FF-1833B6048A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L18:L23</xm:sqref>
        </x14:conditionalFormatting>
        <x14:conditionalFormatting xmlns:xm="http://schemas.microsoft.com/office/excel/2006/main">
          <x14:cfRule type="dataBar" id="{79DF8A7F-9B9C-44D8-859A-D17098617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C2:C12</xm:sqref>
        </x14:conditionalFormatting>
        <x14:conditionalFormatting xmlns:xm="http://schemas.microsoft.com/office/excel/2006/main">
          <x14:cfRule type="dataBar" id="{65DAA0BF-C649-45B4-9F37-155E15797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M18:M23</xm:sqref>
        </x14:conditionalFormatting>
        <x14:conditionalFormatting xmlns:xm="http://schemas.microsoft.com/office/excel/2006/main">
          <x14:cfRule type="dataBar" id="{22CB0EF5-EC5D-4714-BF5C-66112D29FE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</xm:sqref>
        </x14:conditionalFormatting>
        <x14:conditionalFormatting xmlns:xm="http://schemas.microsoft.com/office/excel/2006/main">
          <x14:cfRule type="dataBar" id="{76BBC023-12CB-4669-AF19-E927870BC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C2:C14</xm:sqref>
        </x14:conditionalFormatting>
        <x14:conditionalFormatting xmlns:xm="http://schemas.microsoft.com/office/excel/2006/main">
          <x14:cfRule type="dataBar" id="{462A7426-4173-46BF-9395-E0F2FEAD1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L18:M23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KeHoachChi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2026-10-18T08:46:25Z</dcterms:created>
  <dcterms:modified xsi:type="dcterms:W3CDTF">2026-10-18T15:50:43Z</dcterms:modified>
</cp:coreProperties>
</file>